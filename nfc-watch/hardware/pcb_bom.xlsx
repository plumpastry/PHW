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tch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<sst xmlns="http://schemas.openxmlformats.org/spreadsheetml/2006/main" count="212" uniqueCount="182">
  <si>
    <t xml:space="preserve">Designator</t>
  </si>
  <si>
    <t xml:space="preserve">Footprint</t>
  </si>
  <si>
    <t xml:space="preserve">Quantity</t>
  </si>
  <si>
    <t xml:space="preserve">Designation</t>
  </si>
  <si>
    <t xml:space="preserve">Supplier and ref</t>
  </si>
  <si>
    <t xml:space="preserve">Mouser P/N</t>
  </si>
  <si>
    <t xml:space="preserve">Stock</t>
  </si>
  <si>
    <t xml:space="preserve">Notes</t>
  </si>
  <si>
    <t xml:space="preserve">Quantity Needed</t>
  </si>
  <si>
    <t xml:space="preserve">C41,C42</t>
  </si>
  <si>
    <t xml:space="preserve">C_0402_1005Metric</t>
  </si>
  <si>
    <t xml:space="preserve">620pF</t>
  </si>
  <si>
    <t xml:space="preserve">81-GCM1555C1H621GA6D </t>
  </si>
  <si>
    <t xml:space="preserve">50VDC</t>
  </si>
  <si>
    <t xml:space="preserve">R7,R15,R4,R14,R8,R16</t>
  </si>
  <si>
    <t xml:space="preserve">R_0402_1005Metric</t>
  </si>
  <si>
    <t xml:space="preserve">R10K</t>
  </si>
  <si>
    <t xml:space="preserve">71-CRCW040210K0FKEDC </t>
  </si>
  <si>
    <t xml:space="preserve">C24,C18,C37,C15,C23,C10,C14,C22,C9,C25</t>
  </si>
  <si>
    <t xml:space="preserve">C0.1uF</t>
  </si>
  <si>
    <t xml:space="preserve">81-GRM15R61A104KA01J </t>
  </si>
  <si>
    <t xml:space="preserve">R1</t>
  </si>
  <si>
    <t xml:space="preserve">R15k</t>
  </si>
  <si>
    <t xml:space="preserve">667-ERJ-PA2F1502X </t>
  </si>
  <si>
    <t xml:space="preserve">C38</t>
  </si>
  <si>
    <t xml:space="preserve">C1uF</t>
  </si>
  <si>
    <t xml:space="preserve">81-GRM155C71C105ME11 </t>
  </si>
  <si>
    <t xml:space="preserve">PLUM FEEDBACK ENGINE</t>
  </si>
  <si>
    <t xml:space="preserve">PUI_HD-LA0503-LW28</t>
  </si>
  <si>
    <t xml:space="preserve">HD-LA0503-LW28</t>
  </si>
  <si>
    <t xml:space="preserve">665-HD-LA0503-LW28 </t>
  </si>
  <si>
    <t xml:space="preserve">C55</t>
  </si>
  <si>
    <t xml:space="preserve">C_0201_0603Metric</t>
  </si>
  <si>
    <t xml:space="preserve">C0.3pF</t>
  </si>
  <si>
    <t xml:space="preserve">81-GCQ0335C1HR30BB1D </t>
  </si>
  <si>
    <t xml:space="preserve">C30,C32,C28,C34,C27,C36</t>
  </si>
  <si>
    <t xml:space="preserve">C10nF</t>
  </si>
  <si>
    <t xml:space="preserve">963-JMK063BJ103KP-F </t>
  </si>
  <si>
    <t xml:space="preserve">NFC DECOUPLING</t>
  </si>
  <si>
    <t xml:space="preserve">NOTE: some parts footprints are wrong!!</t>
  </si>
  <si>
    <t xml:space="preserve">C44,C43,C45,C1</t>
  </si>
  <si>
    <t xml:space="preserve">LXRW0YV201059</t>
  </si>
  <si>
    <t xml:space="preserve">LXRW0YV201-059</t>
  </si>
  <si>
    <t xml:space="preserve">81-LXRW0YV201-059 </t>
  </si>
  <si>
    <t xml:space="preserve">ALSO DECOUPLING PARTS FOR NFC MUSTS BE 6V RATED</t>
  </si>
  <si>
    <t xml:space="preserve">IC4</t>
  </si>
  <si>
    <t xml:space="preserve">QFN50P400X400X90-25N-D</t>
  </si>
  <si>
    <t xml:space="preserve">NPM1100-QDAA-R</t>
  </si>
  <si>
    <t xml:space="preserve">949-NPM1100-QDAA-R </t>
  </si>
  <si>
    <t xml:space="preserve">C4,C51,C8,C26,C3</t>
  </si>
  <si>
    <t xml:space="preserve">C2.2uF</t>
  </si>
  <si>
    <t xml:space="preserve">81-GRT155R60J225KE1J </t>
  </si>
  <si>
    <r>
      <rPr>
        <sz val="10"/>
        <rFont val="Arial"/>
        <family val="2"/>
        <charset val="1"/>
      </rPr>
      <t xml:space="preserve">C16,C29,C31,</t>
    </r>
    <r>
      <rPr>
        <sz val="10"/>
        <rFont val="Adwaita Sans"/>
        <family val="2"/>
        <charset val="1"/>
      </rPr>
      <t xml:space="preserve">C33,C35</t>
    </r>
  </si>
  <si>
    <t xml:space="preserve">81-GRM033R60J225ME1D </t>
  </si>
  <si>
    <t xml:space="preserve">C49,C47</t>
  </si>
  <si>
    <t xml:space="preserve">220pF</t>
  </si>
  <si>
    <t xml:space="preserve">81-GCM1555C2A221JE2D </t>
  </si>
  <si>
    <t xml:space="preserve">100VDC</t>
  </si>
  <si>
    <t xml:space="preserve">J3,J6,J5</t>
  </si>
  <si>
    <t xml:space="preserve">PinHeader_1x02_P2.54mm_Vertical</t>
  </si>
  <si>
    <t xml:space="preserve">Conn_01x02_Pin</t>
  </si>
  <si>
    <t xml:space="preserve">649-1012937890203BLF </t>
  </si>
  <si>
    <t xml:space="preserve">C46,C48</t>
  </si>
  <si>
    <t xml:space="preserve">10pF</t>
  </si>
  <si>
    <t xml:space="preserve">81-GRM1555C2A100FA1D </t>
  </si>
  <si>
    <t xml:space="preserve">Y2</t>
  </si>
  <si>
    <t xml:space="preserve">Crystal_SMD_2016-4Pin_2.0x1.6mm</t>
  </si>
  <si>
    <t xml:space="preserve">32MHz</t>
  </si>
  <si>
    <t xml:space="preserve">581-CX2016SA32DFPLG1 </t>
  </si>
  <si>
    <t xml:space="preserve">C6,C2,C21,C5</t>
  </si>
  <si>
    <t xml:space="preserve">C10uF</t>
  </si>
  <si>
    <t xml:space="preserve">81-GRM155R60J106ME8D </t>
  </si>
  <si>
    <t xml:space="preserve">10VDC FOR 9V RAIL</t>
  </si>
  <si>
    <t xml:space="preserve">IC3</t>
  </si>
  <si>
    <t xml:space="preserve">LSM6DS3USTR</t>
  </si>
  <si>
    <t xml:space="preserve">ISM330DHCXTR</t>
  </si>
  <si>
    <t xml:space="preserve">511-ISM330DHCXTR </t>
  </si>
  <si>
    <t xml:space="preserve">R12,R11</t>
  </si>
  <si>
    <t xml:space="preserve">R1.6</t>
  </si>
  <si>
    <t xml:space="preserve">755-ESR01MZPJ1R6 </t>
  </si>
  <si>
    <t xml:space="preserve">C7, C17,C13,C11</t>
  </si>
  <si>
    <t xml:space="preserve">C4.7uF</t>
  </si>
  <si>
    <t xml:space="preserve">81-GRM15D81C475ME15D </t>
  </si>
  <si>
    <t xml:space="preserve">PS1</t>
  </si>
  <si>
    <t xml:space="preserve">BGA6C40P2X3_88X123X62</t>
  </si>
  <si>
    <t xml:space="preserve">TPS61046YFFR</t>
  </si>
  <si>
    <t xml:space="preserve">595-TPS61046YFFR </t>
  </si>
  <si>
    <t xml:space="preserve">C50</t>
  </si>
  <si>
    <t xml:space="preserve">C2.2nF</t>
  </si>
  <si>
    <t xml:space="preserve">710-885012205008 </t>
  </si>
  <si>
    <t xml:space="preserve">L4,L3</t>
  </si>
  <si>
    <t xml:space="preserve">L_0402_1005Metric</t>
  </si>
  <si>
    <t xml:space="preserve">LEMC1</t>
  </si>
  <si>
    <t xml:space="preserve">710-7447650227 </t>
  </si>
  <si>
    <t xml:space="preserve">R3</t>
  </si>
  <si>
    <t xml:space="preserve">R1k</t>
  </si>
  <si>
    <t xml:space="preserve">603-RC0402FR-7D1KL </t>
  </si>
  <si>
    <t xml:space="preserve">J4</t>
  </si>
  <si>
    <t xml:space="preserve">PinHeader_2x10_P2.54mm_Vertical</t>
  </si>
  <si>
    <t xml:space="preserve">Conn_02x10_Odd_Even</t>
  </si>
  <si>
    <t xml:space="preserve">649-1012938192001BLF </t>
  </si>
  <si>
    <t xml:space="preserve">C52</t>
  </si>
  <si>
    <t xml:space="preserve">C3.9pF</t>
  </si>
  <si>
    <t xml:space="preserve">KGM05ACG1H3R9BH </t>
  </si>
  <si>
    <t xml:space="preserve">ANT1</t>
  </si>
  <si>
    <t xml:space="preserve">ANTENNA_W3008</t>
  </si>
  <si>
    <t xml:space="preserve">W3008</t>
  </si>
  <si>
    <t xml:space="preserve">673-W3008 </t>
  </si>
  <si>
    <t xml:space="preserve">TH1</t>
  </si>
  <si>
    <t xml:space="preserve">NTC</t>
  </si>
  <si>
    <t xml:space="preserve">810-NTCG063JF103FT </t>
  </si>
  <si>
    <t xml:space="preserve">C39,C40</t>
  </si>
  <si>
    <t xml:space="preserve">C12pF</t>
  </si>
  <si>
    <t xml:space="preserve">81-GRT1555C2A120JA2D </t>
  </si>
  <si>
    <t xml:space="preserve">Y1</t>
  </si>
  <si>
    <t xml:space="preserve">XRCGB</t>
  </si>
  <si>
    <t xml:space="preserve">XRCGB27M120F3M13R0</t>
  </si>
  <si>
    <t xml:space="preserve">81-XRCGB27M120F3M13R </t>
  </si>
  <si>
    <t xml:space="preserve">C53</t>
  </si>
  <si>
    <t xml:space="preserve">C1.5pF</t>
  </si>
  <si>
    <t xml:space="preserve">81-GJM0335C1E1R5WB1D </t>
  </si>
  <si>
    <t xml:space="preserve">L2</t>
  </si>
  <si>
    <t xml:space="preserve">L_1008_2520Metric</t>
  </si>
  <si>
    <t xml:space="preserve">L10uH</t>
  </si>
  <si>
    <t xml:space="preserve">81-1239AS-H-100MP2 </t>
  </si>
  <si>
    <t xml:space="preserve">AE1</t>
  </si>
  <si>
    <t xml:space="preserve">C_0805_2012Metric_Pad1.18x1.45mm_HandSolder</t>
  </si>
  <si>
    <t xml:space="preserve">Antenna_Loop</t>
  </si>
  <si>
    <t xml:space="preserve">538-146236-0101 </t>
  </si>
  <si>
    <t xml:space="preserve">FB1</t>
  </si>
  <si>
    <t xml:space="preserve">FerriteBead</t>
  </si>
  <si>
    <t xml:space="preserve">810-MPZ1005A151ETD25 </t>
  </si>
  <si>
    <t xml:space="preserve">FB2</t>
  </si>
  <si>
    <t xml:space="preserve">81-BLM15AG121SN1D </t>
  </si>
  <si>
    <t xml:space="preserve">R6</t>
  </si>
  <si>
    <t xml:space="preserve">R510K</t>
  </si>
  <si>
    <t xml:space="preserve">71-CRCW0402510KFKED </t>
  </si>
  <si>
    <t xml:space="preserve">L8,L7</t>
  </si>
  <si>
    <t xml:space="preserve">L3.5nH</t>
  </si>
  <si>
    <t xml:space="preserve">81-LQP03HQ3N5B02D </t>
  </si>
  <si>
    <t xml:space="preserve">R5</t>
  </si>
  <si>
    <t xml:space="preserve">R75K</t>
  </si>
  <si>
    <t xml:space="preserve">71-RCG040275K0JNED </t>
  </si>
  <si>
    <t xml:space="preserve">L6</t>
  </si>
  <si>
    <t xml:space="preserve">L2.7nH</t>
  </si>
  <si>
    <t xml:space="preserve">81-LQP03HQ2N7B02D </t>
  </si>
  <si>
    <t xml:space="preserve">SW4,SW3,SW2</t>
  </si>
  <si>
    <t xml:space="preserve">SW_B3U-1100P</t>
  </si>
  <si>
    <t xml:space="preserve">SW_Push</t>
  </si>
  <si>
    <t xml:space="preserve">653-B3U-1100P </t>
  </si>
  <si>
    <t xml:space="preserve">IC2</t>
  </si>
  <si>
    <t xml:space="preserve">QFN50P500X500X60-33N-D</t>
  </si>
  <si>
    <t xml:space="preserve">ST25R3916B-AQET</t>
  </si>
  <si>
    <t xml:space="preserve">511-ST25R3916B-AQET </t>
  </si>
  <si>
    <t xml:space="preserve">J2</t>
  </si>
  <si>
    <t xml:space="preserve">212134-0002</t>
  </si>
  <si>
    <t xml:space="preserve">538-212134-0002 </t>
  </si>
  <si>
    <t xml:space="preserve">C54</t>
  </si>
  <si>
    <t xml:space="preserve">C2.0pF</t>
  </si>
  <si>
    <t xml:space="preserve">81-GJM0335C1E2R0WB1D </t>
  </si>
  <si>
    <t xml:space="preserve">L1</t>
  </si>
  <si>
    <t xml:space="preserve">L_0805_2012Metric</t>
  </si>
  <si>
    <t xml:space="preserve">810-MLP2012V2R2MT0S1 </t>
  </si>
  <si>
    <t xml:space="preserve">L5</t>
  </si>
  <si>
    <t xml:space="preserve">L_0603_1608Metric</t>
  </si>
  <si>
    <t xml:space="preserve">L4.7uH</t>
  </si>
  <si>
    <t xml:space="preserve">81-LQM18PH4R7MFRL </t>
  </si>
  <si>
    <t xml:space="preserve">R2</t>
  </si>
  <si>
    <t xml:space="preserve">R750K</t>
  </si>
  <si>
    <t xml:space="preserve">71-CRCW0402750KFKEDC </t>
  </si>
  <si>
    <t xml:space="preserve">U2</t>
  </si>
  <si>
    <t xml:space="preserve">QFN-48-1EP_6x6mm_P0.4mm_EP4.6x4.6mm</t>
  </si>
  <si>
    <t xml:space="preserve">NRF54L15-QFAA-R</t>
  </si>
  <si>
    <t xml:space="preserve">949-NRF54L15-QFAA-R </t>
  </si>
  <si>
    <t xml:space="preserve">SW1</t>
  </si>
  <si>
    <t xml:space="preserve">alps_ec05e</t>
  </si>
  <si>
    <t xml:space="preserve">RotaryEncoder</t>
  </si>
  <si>
    <t xml:space="preserve">688-EC05E1220202 </t>
  </si>
  <si>
    <t xml:space="preserve">IC1</t>
  </si>
  <si>
    <t xml:space="preserve">BGA9C40P3X3_147X133X62</t>
  </si>
  <si>
    <t xml:space="preserve">DRV2625YFFR</t>
  </si>
  <si>
    <t xml:space="preserve">595-DRV2625YFFR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</si>
</sst>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dwaita Sans"/>
      <family val="2"/>
      <charset val="1"/>
    </font>
    <font>
      <b val="true"/>
      <sz val="10"/>
      <name val="Adwaita Sans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50"/>
  <sheetViews>
    <sheetView showFormulas="false" showGridLines="true" showRowColHeaders="true" showZeros="true" rightToLeft="false" tabSelected="true" showOutlineSymbols="true" defaultGridColor="true" view="normal" topLeftCell="A1" colorId="64" zoomScale="97" zoomScaleNormal="97" zoomScalePageLayoutView="100" workbookViewId="0">
      <selection pane="topLeft" activeCell="K18" activeCellId="0" sqref="K1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7.6"/>
    <col collapsed="false" customWidth="true" hidden="false" outlineLevel="0" max="2" min="2" style="1" width="43.03"/>
    <col collapsed="false" customWidth="true" hidden="false" outlineLevel="0" max="3" min="3" style="1" width="8.39"/>
    <col collapsed="false" customWidth="true" hidden="false" outlineLevel="0" max="4" min="4" style="1" width="24.34"/>
    <col collapsed="false" customWidth="true" hidden="true" outlineLevel="0" max="5" min="5" style="1" width="14.23"/>
    <col collapsed="false" customWidth="true" hidden="false" outlineLevel="0" max="6" min="6" style="1" width="28.38"/>
    <col collapsed="false" customWidth="false" hidden="false" outlineLevel="0" max="8" min="7" style="1" width="11.53"/>
    <col collapsed="false" customWidth="true" hidden="false" outlineLevel="0" max="9" min="9" style="1" width="16.92"/>
    <col collapsed="false" customWidth="false" hidden="false" outlineLevel="0" max="16383" min="10" style="1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3.4" hidden="false" customHeight="false" outlineLevel="0" collapsed="false">
      <c r="A2" s="1" t="s">
        <v>9</v>
      </c>
      <c r="B2" s="1" t="s">
        <v>10</v>
      </c>
      <c r="C2" s="1" t="n">
        <v>2</v>
      </c>
      <c r="D2" s="1" t="s">
        <v>11</v>
      </c>
      <c r="F2" s="3" t="s">
        <v>12</v>
      </c>
      <c r="G2" s="1" t="n">
        <v>18</v>
      </c>
      <c r="H2" s="1" t="s">
        <v>13</v>
      </c>
      <c r="I2" s="0" t="n">
        <f aca="false">MAX((C2-G2),0)</f>
        <v>0</v>
      </c>
    </row>
    <row r="3" customFormat="false" ht="13.4" hidden="false" customHeight="false" outlineLevel="0" collapsed="false">
      <c r="A3" s="1" t="s">
        <v>14</v>
      </c>
      <c r="B3" s="1" t="s">
        <v>15</v>
      </c>
      <c r="C3" s="1" t="n">
        <v>6</v>
      </c>
      <c r="D3" s="1" t="s">
        <v>16</v>
      </c>
      <c r="F3" s="3" t="s">
        <v>17</v>
      </c>
      <c r="G3" s="1" t="n">
        <v>40</v>
      </c>
      <c r="I3" s="0" t="n">
        <f aca="false">MAX((C3-G3),0)</f>
        <v>0</v>
      </c>
    </row>
    <row r="4" customFormat="false" ht="13.4" hidden="false" customHeight="false" outlineLevel="0" collapsed="false">
      <c r="A4" s="1" t="s">
        <v>18</v>
      </c>
      <c r="B4" s="1" t="s">
        <v>10</v>
      </c>
      <c r="C4" s="1" t="n">
        <v>10</v>
      </c>
      <c r="D4" s="1" t="s">
        <v>19</v>
      </c>
      <c r="F4" s="3" t="s">
        <v>20</v>
      </c>
      <c r="G4" s="1" t="n">
        <v>40</v>
      </c>
      <c r="I4" s="0" t="n">
        <f aca="false">MAX((C4-G4),0)</f>
        <v>0</v>
      </c>
    </row>
    <row r="5" customFormat="false" ht="12.8" hidden="false" customHeight="false" outlineLevel="0" collapsed="false">
      <c r="A5" s="1" t="s">
        <v>21</v>
      </c>
      <c r="B5" s="1" t="s">
        <v>15</v>
      </c>
      <c r="C5" s="1" t="n">
        <v>1</v>
      </c>
      <c r="D5" s="1" t="s">
        <v>22</v>
      </c>
      <c r="F5" s="4" t="s">
        <v>23</v>
      </c>
      <c r="I5" s="0" t="n">
        <f aca="false">MAX((C5-G5),0)</f>
        <v>1</v>
      </c>
    </row>
    <row r="6" customFormat="false" ht="13.4" hidden="false" customHeight="false" outlineLevel="0" collapsed="false">
      <c r="A6" s="1" t="s">
        <v>24</v>
      </c>
      <c r="B6" s="1" t="s">
        <v>10</v>
      </c>
      <c r="C6" s="1" t="n">
        <v>1</v>
      </c>
      <c r="D6" s="1" t="s">
        <v>25</v>
      </c>
      <c r="F6" s="3" t="s">
        <v>26</v>
      </c>
      <c r="G6" s="1" t="n">
        <v>9</v>
      </c>
      <c r="I6" s="0" t="n">
        <f aca="false">MAX((C6-G6),0)</f>
        <v>0</v>
      </c>
    </row>
    <row r="7" customFormat="false" ht="13.4" hidden="false" customHeight="false" outlineLevel="0" collapsed="false">
      <c r="A7" s="1" t="s">
        <v>27</v>
      </c>
      <c r="B7" s="1" t="s">
        <v>28</v>
      </c>
      <c r="C7" s="1" t="n">
        <v>1</v>
      </c>
      <c r="D7" s="1" t="s">
        <v>29</v>
      </c>
      <c r="F7" s="3" t="s">
        <v>30</v>
      </c>
      <c r="G7" s="1" t="n">
        <v>1</v>
      </c>
      <c r="I7" s="0" t="n">
        <f aca="false">MAX((C7-G7),0)</f>
        <v>0</v>
      </c>
    </row>
    <row r="8" customFormat="false" ht="12.8" hidden="false" customHeight="false" outlineLevel="0" collapsed="false">
      <c r="A8" s="1" t="s">
        <v>31</v>
      </c>
      <c r="B8" s="5" t="s">
        <v>32</v>
      </c>
      <c r="C8" s="1" t="n">
        <v>1</v>
      </c>
      <c r="D8" s="1" t="s">
        <v>33</v>
      </c>
      <c r="F8" s="4" t="s">
        <v>34</v>
      </c>
      <c r="I8" s="0" t="n">
        <f aca="false">MAX((C8-G8),0)</f>
        <v>1</v>
      </c>
    </row>
    <row r="9" customFormat="false" ht="12.8" hidden="false" customHeight="false" outlineLevel="0" collapsed="false">
      <c r="A9" s="1" t="s">
        <v>35</v>
      </c>
      <c r="B9" s="1" t="s">
        <v>32</v>
      </c>
      <c r="C9" s="1" t="n">
        <v>6</v>
      </c>
      <c r="D9" s="1" t="s">
        <v>36</v>
      </c>
      <c r="F9" s="4" t="s">
        <v>37</v>
      </c>
      <c r="H9" s="1" t="s">
        <v>38</v>
      </c>
      <c r="I9" s="0" t="n">
        <f aca="false">MAX((C9-G9),0)</f>
        <v>6</v>
      </c>
      <c r="K9" s="1" t="s">
        <v>39</v>
      </c>
    </row>
    <row r="10" customFormat="false" ht="13.4" hidden="false" customHeight="false" outlineLevel="0" collapsed="false">
      <c r="A10" s="1" t="s">
        <v>40</v>
      </c>
      <c r="B10" s="1" t="s">
        <v>41</v>
      </c>
      <c r="C10" s="1" t="n">
        <v>4</v>
      </c>
      <c r="D10" s="1" t="s">
        <v>42</v>
      </c>
      <c r="F10" s="3" t="s">
        <v>43</v>
      </c>
      <c r="G10" s="1" t="n">
        <v>0</v>
      </c>
      <c r="I10" s="0" t="n">
        <f aca="false">MAX((C10-G10),0)</f>
        <v>4</v>
      </c>
      <c r="K10" s="1" t="s">
        <v>44</v>
      </c>
    </row>
    <row r="11" customFormat="false" ht="13.4" hidden="false" customHeight="false" outlineLevel="0" collapsed="false">
      <c r="A11" s="1" t="s">
        <v>45</v>
      </c>
      <c r="B11" s="1" t="s">
        <v>46</v>
      </c>
      <c r="C11" s="1" t="n">
        <v>1</v>
      </c>
      <c r="D11" s="1" t="s">
        <v>47</v>
      </c>
      <c r="F11" s="3" t="s">
        <v>48</v>
      </c>
      <c r="G11" s="1" t="n">
        <v>1</v>
      </c>
      <c r="I11" s="0" t="n">
        <f aca="false">MAX((C11-G11),0)</f>
        <v>0</v>
      </c>
    </row>
    <row r="12" customFormat="false" ht="12.8" hidden="false" customHeight="false" outlineLevel="0" collapsed="false">
      <c r="A12" s="1" t="s">
        <v>49</v>
      </c>
      <c r="B12" s="1" t="s">
        <v>10</v>
      </c>
      <c r="C12" s="1" t="n">
        <v>5</v>
      </c>
      <c r="D12" s="1" t="s">
        <v>50</v>
      </c>
      <c r="F12" s="4" t="s">
        <v>51</v>
      </c>
      <c r="I12" s="0" t="n">
        <f aca="false">MAX((C12-G12),0)</f>
        <v>5</v>
      </c>
    </row>
    <row r="13" customFormat="false" ht="13.4" hidden="false" customHeight="false" outlineLevel="0" collapsed="false">
      <c r="A13" s="5" t="s">
        <v>52</v>
      </c>
      <c r="B13" s="5" t="s">
        <v>32</v>
      </c>
      <c r="C13" s="5" t="n">
        <v>5</v>
      </c>
      <c r="D13" s="5" t="s">
        <v>50</v>
      </c>
      <c r="E13" s="5"/>
      <c r="F13" s="4" t="s">
        <v>53</v>
      </c>
      <c r="G13" s="5"/>
      <c r="H13" s="5" t="s">
        <v>38</v>
      </c>
      <c r="I13" s="0" t="n">
        <f aca="false">MAX((C13-G13),0)</f>
        <v>5</v>
      </c>
      <c r="J13" s="5"/>
      <c r="K13" s="5"/>
    </row>
    <row r="14" customFormat="false" ht="13.4" hidden="false" customHeight="false" outlineLevel="0" collapsed="false">
      <c r="A14" s="1" t="s">
        <v>54</v>
      </c>
      <c r="B14" s="1" t="s">
        <v>10</v>
      </c>
      <c r="C14" s="1" t="n">
        <v>2</v>
      </c>
      <c r="D14" s="1" t="s">
        <v>55</v>
      </c>
      <c r="F14" s="3" t="s">
        <v>56</v>
      </c>
      <c r="G14" s="1" t="n">
        <v>18</v>
      </c>
      <c r="H14" s="1" t="s">
        <v>57</v>
      </c>
      <c r="I14" s="0" t="n">
        <f aca="false">MAX((C14-G14),0)</f>
        <v>0</v>
      </c>
    </row>
    <row r="15" customFormat="false" ht="13.4" hidden="false" customHeight="false" outlineLevel="0" collapsed="false">
      <c r="A15" s="1" t="s">
        <v>58</v>
      </c>
      <c r="B15" s="1" t="s">
        <v>59</v>
      </c>
      <c r="C15" s="1" t="n">
        <v>3</v>
      </c>
      <c r="D15" s="1" t="s">
        <v>60</v>
      </c>
      <c r="F15" s="3" t="s">
        <v>61</v>
      </c>
      <c r="I15" s="0" t="n">
        <f aca="false">MAX((C15-G15),0)</f>
        <v>3</v>
      </c>
    </row>
    <row r="16" customFormat="false" ht="13.4" hidden="false" customHeight="false" outlineLevel="0" collapsed="false">
      <c r="A16" s="1" t="s">
        <v>62</v>
      </c>
      <c r="B16" s="1" t="s">
        <v>10</v>
      </c>
      <c r="C16" s="1" t="n">
        <v>2</v>
      </c>
      <c r="D16" s="1" t="s">
        <v>63</v>
      </c>
      <c r="F16" s="3" t="s">
        <v>64</v>
      </c>
      <c r="G16" s="1" t="n">
        <v>18</v>
      </c>
      <c r="H16" s="1" t="s">
        <v>57</v>
      </c>
      <c r="I16" s="0" t="n">
        <f aca="false">MAX((C16-G16),0)</f>
        <v>0</v>
      </c>
    </row>
    <row r="17" customFormat="false" ht="12.8" hidden="false" customHeight="false" outlineLevel="0" collapsed="false">
      <c r="A17" s="1" t="s">
        <v>65</v>
      </c>
      <c r="B17" s="1" t="s">
        <v>66</v>
      </c>
      <c r="C17" s="1" t="n">
        <v>1</v>
      </c>
      <c r="D17" s="1" t="s">
        <v>67</v>
      </c>
      <c r="F17" s="4" t="s">
        <v>68</v>
      </c>
      <c r="H17" s="5"/>
      <c r="I17" s="0" t="n">
        <f aca="false">MAX((C17-G17),0)</f>
        <v>1</v>
      </c>
    </row>
    <row r="18" customFormat="false" ht="13.4" hidden="false" customHeight="false" outlineLevel="0" collapsed="false">
      <c r="A18" s="1" t="s">
        <v>69</v>
      </c>
      <c r="B18" s="1" t="s">
        <v>10</v>
      </c>
      <c r="C18" s="1" t="n">
        <v>4</v>
      </c>
      <c r="D18" s="1" t="s">
        <v>70</v>
      </c>
      <c r="F18" s="3" t="s">
        <v>71</v>
      </c>
      <c r="G18" s="1" t="n">
        <v>7</v>
      </c>
      <c r="H18" s="1" t="s">
        <v>72</v>
      </c>
      <c r="I18" s="0" t="n">
        <f aca="false">MAX((C18-G18),0)</f>
        <v>0</v>
      </c>
    </row>
    <row r="19" customFormat="false" ht="12.8" hidden="false" customHeight="false" outlineLevel="0" collapsed="false">
      <c r="A19" s="1" t="s">
        <v>73</v>
      </c>
      <c r="B19" s="1" t="s">
        <v>74</v>
      </c>
      <c r="C19" s="1" t="n">
        <v>1</v>
      </c>
      <c r="D19" s="1" t="s">
        <v>75</v>
      </c>
      <c r="F19" s="4" t="s">
        <v>76</v>
      </c>
      <c r="I19" s="0" t="n">
        <f aca="false">MAX((C19-G19),0)</f>
        <v>1</v>
      </c>
    </row>
    <row r="20" customFormat="false" ht="13.4" hidden="false" customHeight="false" outlineLevel="0" collapsed="false">
      <c r="A20" s="1" t="s">
        <v>77</v>
      </c>
      <c r="B20" s="1" t="s">
        <v>15</v>
      </c>
      <c r="C20" s="1" t="n">
        <v>2</v>
      </c>
      <c r="D20" s="1" t="s">
        <v>78</v>
      </c>
      <c r="F20" s="3" t="s">
        <v>79</v>
      </c>
      <c r="G20" s="1" t="n">
        <v>8</v>
      </c>
      <c r="I20" s="0" t="n">
        <f aca="false">MAX((C20-G20),0)</f>
        <v>0</v>
      </c>
    </row>
    <row r="21" customFormat="false" ht="12.8" hidden="false" customHeight="false" outlineLevel="0" collapsed="false">
      <c r="A21" s="1" t="s">
        <v>80</v>
      </c>
      <c r="B21" s="1" t="s">
        <v>15</v>
      </c>
      <c r="C21" s="1" t="n">
        <v>4</v>
      </c>
      <c r="D21" s="1" t="s">
        <v>81</v>
      </c>
      <c r="F21" s="4" t="s">
        <v>82</v>
      </c>
      <c r="G21" s="1" t="n">
        <v>0</v>
      </c>
      <c r="I21" s="0" t="n">
        <f aca="false">MAX((C21-G21),0)</f>
        <v>4</v>
      </c>
    </row>
    <row r="22" customFormat="false" ht="13.4" hidden="false" customHeight="false" outlineLevel="0" collapsed="false">
      <c r="A22" s="1" t="s">
        <v>83</v>
      </c>
      <c r="B22" s="1" t="s">
        <v>84</v>
      </c>
      <c r="C22" s="1" t="n">
        <v>1</v>
      </c>
      <c r="D22" s="1" t="s">
        <v>85</v>
      </c>
      <c r="F22" s="3" t="s">
        <v>86</v>
      </c>
      <c r="G22" s="1" t="n">
        <v>2</v>
      </c>
      <c r="I22" s="0" t="n">
        <f aca="false">MAX((C22-G22),0)</f>
        <v>0</v>
      </c>
    </row>
    <row r="23" customFormat="false" ht="12.8" hidden="false" customHeight="false" outlineLevel="0" collapsed="false">
      <c r="A23" s="1" t="s">
        <v>87</v>
      </c>
      <c r="B23" s="1" t="s">
        <v>10</v>
      </c>
      <c r="C23" s="1" t="n">
        <v>1</v>
      </c>
      <c r="D23" s="1" t="s">
        <v>88</v>
      </c>
      <c r="F23" s="4" t="s">
        <v>89</v>
      </c>
      <c r="G23" s="1" t="n">
        <v>4</v>
      </c>
      <c r="I23" s="0" t="n">
        <f aca="false">MAX((C23-G23),0)</f>
        <v>0</v>
      </c>
    </row>
    <row r="24" customFormat="false" ht="13.4" hidden="false" customHeight="false" outlineLevel="0" collapsed="false">
      <c r="A24" s="1" t="s">
        <v>90</v>
      </c>
      <c r="B24" s="1" t="s">
        <v>91</v>
      </c>
      <c r="C24" s="1" t="n">
        <v>2</v>
      </c>
      <c r="D24" s="1" t="s">
        <v>92</v>
      </c>
      <c r="F24" s="3" t="s">
        <v>93</v>
      </c>
      <c r="I24" s="0" t="n">
        <f aca="false">MAX((C24-G24),0)</f>
        <v>2</v>
      </c>
    </row>
    <row r="25" customFormat="false" ht="12.8" hidden="false" customHeight="false" outlineLevel="0" collapsed="false">
      <c r="A25" s="1" t="s">
        <v>94</v>
      </c>
      <c r="B25" s="1" t="s">
        <v>10</v>
      </c>
      <c r="C25" s="1" t="n">
        <v>1</v>
      </c>
      <c r="D25" s="1" t="s">
        <v>95</v>
      </c>
      <c r="F25" s="4" t="s">
        <v>96</v>
      </c>
      <c r="I25" s="0" t="n">
        <f aca="false">MAX((C25-G25),0)</f>
        <v>1</v>
      </c>
    </row>
    <row r="26" customFormat="false" ht="13.4" hidden="false" customHeight="false" outlineLevel="0" collapsed="false">
      <c r="A26" s="1" t="s">
        <v>97</v>
      </c>
      <c r="B26" s="1" t="s">
        <v>98</v>
      </c>
      <c r="C26" s="1" t="n">
        <v>1</v>
      </c>
      <c r="D26" s="1" t="s">
        <v>99</v>
      </c>
      <c r="F26" s="3" t="s">
        <v>100</v>
      </c>
      <c r="G26" s="1" t="n">
        <v>0</v>
      </c>
      <c r="I26" s="0" t="n">
        <f aca="false">MAX((C26-G26),0)</f>
        <v>1</v>
      </c>
    </row>
    <row r="27" customFormat="false" ht="12.8" hidden="false" customHeight="false" outlineLevel="0" collapsed="false">
      <c r="A27" s="1" t="s">
        <v>101</v>
      </c>
      <c r="B27" s="1" t="s">
        <v>10</v>
      </c>
      <c r="C27" s="1" t="n">
        <v>1</v>
      </c>
      <c r="D27" s="1" t="s">
        <v>102</v>
      </c>
      <c r="F27" s="4" t="s">
        <v>103</v>
      </c>
      <c r="G27" s="1" t="n">
        <v>0</v>
      </c>
      <c r="I27" s="0" t="n">
        <f aca="false">MAX((C27-G27),0)</f>
        <v>1</v>
      </c>
    </row>
    <row r="28" customFormat="false" ht="13.4" hidden="false" customHeight="false" outlineLevel="0" collapsed="false">
      <c r="A28" s="1" t="s">
        <v>104</v>
      </c>
      <c r="B28" s="1" t="s">
        <v>105</v>
      </c>
      <c r="C28" s="1" t="n">
        <v>1</v>
      </c>
      <c r="D28" s="1" t="s">
        <v>106</v>
      </c>
      <c r="F28" s="3" t="s">
        <v>107</v>
      </c>
      <c r="G28" s="1" t="n">
        <v>0</v>
      </c>
      <c r="I28" s="0" t="n">
        <f aca="false">MAX((C28-G28),0)</f>
        <v>1</v>
      </c>
    </row>
    <row r="29" customFormat="false" ht="13.4" hidden="false" customHeight="false" outlineLevel="0" collapsed="false">
      <c r="A29" s="1" t="s">
        <v>108</v>
      </c>
      <c r="B29" s="1" t="s">
        <v>32</v>
      </c>
      <c r="C29" s="1" t="n">
        <v>1</v>
      </c>
      <c r="D29" s="1" t="s">
        <v>109</v>
      </c>
      <c r="F29" s="3" t="s">
        <v>110</v>
      </c>
      <c r="G29" s="1" t="n">
        <v>3</v>
      </c>
      <c r="I29" s="0" t="n">
        <f aca="false">MAX((C29-G29),0)</f>
        <v>0</v>
      </c>
    </row>
    <row r="30" customFormat="false" ht="13.4" hidden="false" customHeight="false" outlineLevel="0" collapsed="false">
      <c r="A30" s="1" t="s">
        <v>111</v>
      </c>
      <c r="B30" s="1" t="s">
        <v>10</v>
      </c>
      <c r="C30" s="1" t="n">
        <v>2</v>
      </c>
      <c r="D30" s="1" t="s">
        <v>112</v>
      </c>
      <c r="F30" s="3" t="s">
        <v>113</v>
      </c>
      <c r="G30" s="1" t="n">
        <v>16</v>
      </c>
      <c r="I30" s="0" t="n">
        <f aca="false">MAX((C30-G30),0)</f>
        <v>0</v>
      </c>
    </row>
    <row r="31" customFormat="false" ht="13.4" hidden="false" customHeight="false" outlineLevel="0" collapsed="false">
      <c r="A31" s="1" t="s">
        <v>114</v>
      </c>
      <c r="B31" s="1" t="s">
        <v>115</v>
      </c>
      <c r="C31" s="1" t="n">
        <v>1</v>
      </c>
      <c r="D31" s="1" t="s">
        <v>116</v>
      </c>
      <c r="F31" s="3" t="s">
        <v>117</v>
      </c>
      <c r="G31" s="1" t="n">
        <v>9</v>
      </c>
      <c r="H31" s="1" t="s">
        <v>57</v>
      </c>
      <c r="I31" s="0" t="n">
        <f aca="false">MAX((C31-G31),0)</f>
        <v>0</v>
      </c>
    </row>
    <row r="32" customFormat="false" ht="12.8" hidden="false" customHeight="false" outlineLevel="0" collapsed="false">
      <c r="A32" s="1" t="s">
        <v>118</v>
      </c>
      <c r="B32" s="5" t="s">
        <v>32</v>
      </c>
      <c r="C32" s="1" t="n">
        <v>1</v>
      </c>
      <c r="D32" s="1" t="s">
        <v>119</v>
      </c>
      <c r="F32" s="4" t="s">
        <v>120</v>
      </c>
      <c r="I32" s="0" t="n">
        <f aca="false">MAX((C32-G32),0)</f>
        <v>1</v>
      </c>
    </row>
    <row r="33" customFormat="false" ht="13.4" hidden="false" customHeight="false" outlineLevel="0" collapsed="false">
      <c r="A33" s="1" t="s">
        <v>121</v>
      </c>
      <c r="B33" s="1" t="s">
        <v>122</v>
      </c>
      <c r="C33" s="1" t="n">
        <v>1</v>
      </c>
      <c r="D33" s="1" t="s">
        <v>123</v>
      </c>
      <c r="F33" s="3" t="s">
        <v>124</v>
      </c>
      <c r="G33" s="1" t="n">
        <v>3</v>
      </c>
      <c r="I33" s="0" t="n">
        <f aca="false">MAX((C33-G33),0)</f>
        <v>0</v>
      </c>
    </row>
    <row r="34" customFormat="false" ht="14.9" hidden="false" customHeight="true" outlineLevel="0" collapsed="false">
      <c r="A34" s="1" t="s">
        <v>125</v>
      </c>
      <c r="B34" s="1" t="s">
        <v>126</v>
      </c>
      <c r="C34" s="1" t="n">
        <v>1</v>
      </c>
      <c r="D34" s="1" t="s">
        <v>127</v>
      </c>
      <c r="F34" s="3" t="s">
        <v>128</v>
      </c>
      <c r="G34" s="1" t="n">
        <v>2</v>
      </c>
      <c r="I34" s="0" t="n">
        <f aca="false">MAX((C34-G34),0)</f>
        <v>0</v>
      </c>
    </row>
    <row r="35" customFormat="false" ht="12.8" hidden="false" customHeight="false" outlineLevel="0" collapsed="false">
      <c r="A35" s="1" t="s">
        <v>129</v>
      </c>
      <c r="B35" s="1" t="s">
        <v>91</v>
      </c>
      <c r="C35" s="1" t="n">
        <v>1</v>
      </c>
      <c r="D35" s="1" t="s">
        <v>130</v>
      </c>
      <c r="F35" s="4" t="s">
        <v>131</v>
      </c>
      <c r="G35" s="1" t="n">
        <v>3</v>
      </c>
      <c r="I35" s="0" t="n">
        <f aca="false">MAX((C35-G35),0)</f>
        <v>0</v>
      </c>
    </row>
    <row r="36" customFormat="false" ht="13.4" hidden="false" customHeight="false" outlineLevel="0" collapsed="false">
      <c r="A36" s="1" t="s">
        <v>132</v>
      </c>
      <c r="B36" s="1" t="s">
        <v>91</v>
      </c>
      <c r="C36" s="1" t="n">
        <v>1</v>
      </c>
      <c r="D36" s="1" t="s">
        <v>130</v>
      </c>
      <c r="F36" s="3" t="s">
        <v>133</v>
      </c>
      <c r="I36" s="0" t="n">
        <f aca="false">MAX((C36-G36),0)</f>
        <v>1</v>
      </c>
    </row>
    <row r="37" customFormat="false" ht="13.4" hidden="false" customHeight="false" outlineLevel="0" collapsed="false">
      <c r="A37" s="1" t="s">
        <v>134</v>
      </c>
      <c r="B37" s="1" t="s">
        <v>15</v>
      </c>
      <c r="C37" s="1" t="n">
        <v>1</v>
      </c>
      <c r="D37" s="1" t="s">
        <v>135</v>
      </c>
      <c r="F37" s="3" t="s">
        <v>136</v>
      </c>
      <c r="G37" s="1" t="n">
        <v>9</v>
      </c>
      <c r="I37" s="0" t="n">
        <f aca="false">MAX((C37-G37),0)</f>
        <v>0</v>
      </c>
    </row>
    <row r="38" customFormat="false" ht="12.8" hidden="false" customHeight="false" outlineLevel="0" collapsed="false">
      <c r="A38" s="1" t="s">
        <v>137</v>
      </c>
      <c r="B38" s="1" t="s">
        <v>10</v>
      </c>
      <c r="C38" s="1" t="n">
        <v>2</v>
      </c>
      <c r="D38" s="1" t="s">
        <v>138</v>
      </c>
      <c r="F38" s="4" t="s">
        <v>139</v>
      </c>
      <c r="I38" s="0" t="n">
        <f aca="false">MAX((C38-G38),0)</f>
        <v>2</v>
      </c>
    </row>
    <row r="39" customFormat="false" ht="13.4" hidden="false" customHeight="false" outlineLevel="0" collapsed="false">
      <c r="A39" s="1" t="s">
        <v>140</v>
      </c>
      <c r="B39" s="1" t="s">
        <v>15</v>
      </c>
      <c r="C39" s="1" t="n">
        <v>1</v>
      </c>
      <c r="D39" s="1" t="s">
        <v>141</v>
      </c>
      <c r="F39" s="3" t="s">
        <v>142</v>
      </c>
      <c r="G39" s="1" t="n">
        <v>9</v>
      </c>
      <c r="I39" s="0" t="n">
        <f aca="false">MAX((C39-G39),0)</f>
        <v>0</v>
      </c>
    </row>
    <row r="40" customFormat="false" ht="12.8" hidden="false" customHeight="false" outlineLevel="0" collapsed="false">
      <c r="A40" s="1" t="s">
        <v>143</v>
      </c>
      <c r="B40" s="1" t="s">
        <v>10</v>
      </c>
      <c r="C40" s="1" t="n">
        <v>1</v>
      </c>
      <c r="D40" s="1" t="s">
        <v>144</v>
      </c>
      <c r="F40" s="4" t="s">
        <v>145</v>
      </c>
      <c r="I40" s="0" t="n">
        <f aca="false">MAX((C40-G40),0)</f>
        <v>1</v>
      </c>
    </row>
    <row r="41" customFormat="false" ht="12.8" hidden="false" customHeight="false" outlineLevel="0" collapsed="false">
      <c r="A41" s="1" t="s">
        <v>146</v>
      </c>
      <c r="B41" s="1" t="s">
        <v>147</v>
      </c>
      <c r="C41" s="1" t="n">
        <v>3</v>
      </c>
      <c r="D41" s="1" t="s">
        <v>148</v>
      </c>
      <c r="F41" s="4" t="s">
        <v>149</v>
      </c>
      <c r="I41" s="0" t="n">
        <f aca="false">MAX((C41-G41),0)</f>
        <v>3</v>
      </c>
    </row>
    <row r="42" customFormat="false" ht="13.4" hidden="false" customHeight="false" outlineLevel="0" collapsed="false">
      <c r="A42" s="1" t="s">
        <v>150</v>
      </c>
      <c r="B42" s="1" t="s">
        <v>151</v>
      </c>
      <c r="C42" s="1" t="n">
        <v>1</v>
      </c>
      <c r="D42" s="1" t="s">
        <v>152</v>
      </c>
      <c r="F42" s="3" t="s">
        <v>153</v>
      </c>
      <c r="G42" s="1" t="n">
        <v>1</v>
      </c>
      <c r="I42" s="0" t="n">
        <f aca="false">MAX((C42-G42),0)</f>
        <v>0</v>
      </c>
    </row>
    <row r="43" customFormat="false" ht="13.4" hidden="false" customHeight="false" outlineLevel="0" collapsed="false">
      <c r="A43" s="1" t="s">
        <v>154</v>
      </c>
      <c r="B43" s="6" t="n">
        <v>2121340002</v>
      </c>
      <c r="C43" s="1" t="n">
        <v>1</v>
      </c>
      <c r="D43" s="1" t="s">
        <v>155</v>
      </c>
      <c r="F43" s="3" t="s">
        <v>156</v>
      </c>
      <c r="G43" s="1" t="n">
        <v>3</v>
      </c>
      <c r="I43" s="0" t="n">
        <f aca="false">MAX((C43-G43),0)</f>
        <v>0</v>
      </c>
    </row>
    <row r="44" s="5" customFormat="true" ht="11.9" hidden="false" customHeight="true" outlineLevel="0" collapsed="false">
      <c r="A44" s="1" t="s">
        <v>157</v>
      </c>
      <c r="B44" s="5" t="s">
        <v>32</v>
      </c>
      <c r="C44" s="1" t="n">
        <v>1</v>
      </c>
      <c r="D44" s="1" t="s">
        <v>158</v>
      </c>
      <c r="E44" s="1"/>
      <c r="F44" s="4" t="s">
        <v>159</v>
      </c>
      <c r="G44" s="1"/>
      <c r="H44" s="1"/>
      <c r="I44" s="0" t="n">
        <f aca="false">MAX((C44-G44),0)</f>
        <v>1</v>
      </c>
      <c r="J44" s="1"/>
      <c r="K44" s="1"/>
      <c r="XFD44" s="7"/>
    </row>
    <row r="45" customFormat="false" ht="13.4" hidden="false" customHeight="false" outlineLevel="0" collapsed="false">
      <c r="A45" s="1" t="s">
        <v>160</v>
      </c>
      <c r="B45" s="1" t="s">
        <v>161</v>
      </c>
      <c r="C45" s="1" t="n">
        <v>1</v>
      </c>
      <c r="F45" s="3" t="s">
        <v>162</v>
      </c>
      <c r="G45" s="1" t="n">
        <v>3</v>
      </c>
      <c r="I45" s="0" t="n">
        <f aca="false">MAX((C45-G45),0)</f>
        <v>0</v>
      </c>
    </row>
    <row r="46" customFormat="false" ht="12.8" hidden="false" customHeight="false" outlineLevel="0" collapsed="false">
      <c r="A46" s="1" t="s">
        <v>163</v>
      </c>
      <c r="B46" s="1" t="s">
        <v>164</v>
      </c>
      <c r="C46" s="1" t="n">
        <v>1</v>
      </c>
      <c r="D46" s="1" t="s">
        <v>165</v>
      </c>
      <c r="F46" s="4" t="s">
        <v>166</v>
      </c>
      <c r="I46" s="0" t="n">
        <f aca="false">MAX((C46-G46),0)</f>
        <v>1</v>
      </c>
    </row>
    <row r="47" customFormat="false" ht="13.4" hidden="false" customHeight="false" outlineLevel="0" collapsed="false">
      <c r="A47" s="1" t="s">
        <v>167</v>
      </c>
      <c r="B47" s="1" t="s">
        <v>15</v>
      </c>
      <c r="C47" s="1" t="n">
        <v>1</v>
      </c>
      <c r="D47" s="1" t="s">
        <v>168</v>
      </c>
      <c r="F47" s="3" t="s">
        <v>169</v>
      </c>
      <c r="G47" s="1" t="n">
        <v>9</v>
      </c>
      <c r="I47" s="0" t="n">
        <f aca="false">MAX((C47-G47),0)</f>
        <v>0</v>
      </c>
    </row>
    <row r="48" customFormat="false" ht="13.4" hidden="false" customHeight="false" outlineLevel="0" collapsed="false">
      <c r="A48" s="1" t="s">
        <v>170</v>
      </c>
      <c r="B48" s="1" t="s">
        <v>171</v>
      </c>
      <c r="C48" s="1" t="n">
        <v>1</v>
      </c>
      <c r="D48" s="1" t="s">
        <v>172</v>
      </c>
      <c r="F48" s="3" t="s">
        <v>173</v>
      </c>
      <c r="G48" s="1" t="n">
        <v>0</v>
      </c>
      <c r="I48" s="0" t="n">
        <f aca="false">MAX((C48-G48),0)</f>
        <v>1</v>
      </c>
    </row>
    <row r="49" customFormat="false" ht="13.4" hidden="false" customHeight="false" outlineLevel="0" collapsed="false">
      <c r="A49" s="1" t="s">
        <v>174</v>
      </c>
      <c r="B49" s="1" t="s">
        <v>175</v>
      </c>
      <c r="C49" s="1" t="n">
        <v>1</v>
      </c>
      <c r="D49" s="1" t="s">
        <v>176</v>
      </c>
      <c r="F49" s="3" t="s">
        <v>177</v>
      </c>
      <c r="G49" s="1" t="n">
        <v>0</v>
      </c>
      <c r="I49" s="0" t="n">
        <f aca="false">MAX((C49-G49),0)</f>
        <v>1</v>
      </c>
    </row>
    <row r="50" customFormat="false" ht="13.4" hidden="false" customHeight="false" outlineLevel="0" collapsed="false">
      <c r="A50" s="1" t="s">
        <v>178</v>
      </c>
      <c r="B50" s="1" t="s">
        <v>179</v>
      </c>
      <c r="C50" s="1" t="n">
        <v>1</v>
      </c>
      <c r="D50" s="1" t="s">
        <v>180</v>
      </c>
      <c r="F50" s="3" t="s">
        <v>181</v>
      </c>
      <c r="G50" s="1" t="n">
        <v>2</v>
      </c>
      <c r="I50" s="0" t="n">
        <f aca="false">MAX((C50-G50),0)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539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2026-01-31T18:46:48Z</dcterms:modified>
  <cp:revision>85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